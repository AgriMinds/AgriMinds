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-file\New project\DMU\data\"/>
    </mc:Choice>
  </mc:AlternateContent>
  <xr:revisionPtr revIDLastSave="0" documentId="13_ncr:1_{84AA9998-A3FF-4F89-BCC1-0EA2C1D82274}" xr6:coauthVersionLast="47" xr6:coauthVersionMax="47" xr10:uidLastSave="{00000000-0000-0000-0000-000000000000}"/>
  <bookViews>
    <workbookView xWindow="-110" yWindow="-110" windowWidth="21820" windowHeight="13900" xr2:uid="{9AD284DA-2F9F-4A1D-A7CF-53827ACD9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F3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</calcChain>
</file>

<file path=xl/sharedStrings.xml><?xml version="1.0" encoding="utf-8"?>
<sst xmlns="http://schemas.openxmlformats.org/spreadsheetml/2006/main" count="17" uniqueCount="17">
  <si>
    <t>Year</t>
  </si>
  <si>
    <t>Sc-PDSI</t>
  </si>
  <si>
    <t>P-DJF (m)</t>
  </si>
  <si>
    <t>P-MAM (m)</t>
  </si>
  <si>
    <t>P-JJA (m)</t>
  </si>
  <si>
    <t>P-SON (m)</t>
  </si>
  <si>
    <t>T-DJF (K)</t>
  </si>
  <si>
    <t>T-MAM (K)</t>
  </si>
  <si>
    <t>T-JJA (K)</t>
  </si>
  <si>
    <t>T-SON (K)</t>
  </si>
  <si>
    <t>P-c (mm/mon)</t>
  </si>
  <si>
    <t>T-annual (0C)</t>
  </si>
  <si>
    <t>Nino3.4-DJF</t>
  </si>
  <si>
    <t>Nino3.4-MAM</t>
  </si>
  <si>
    <t>Nino3.4-JJA</t>
  </si>
  <si>
    <t>Nino3.4-SON</t>
  </si>
  <si>
    <t>Nino3.4-annual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</si>
</sst>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01B2-EA3E-405E-8590-E7CCF3AB22C2}">
  <dimension ref="A1:Q38"/>
  <sheetViews>
    <sheetView tabSelected="1" workbookViewId="0">
      <selection activeCell="R1" sqref="R1"/>
    </sheetView>
  </sheetViews>
  <sheetFormatPr defaultRowHeight="14.5" x14ac:dyDescent="0.35"/>
  <cols>
    <col min="1" max="1" width="9.1796875" style="1"/>
    <col min="2" max="2" width="11.54296875" style="1" customWidth="1"/>
    <col min="3" max="3" width="13.26953125" style="1" customWidth="1"/>
    <col min="4" max="4" width="11.6328125" style="1" customWidth="1"/>
    <col min="5" max="5" width="11.36328125" style="1" customWidth="1"/>
    <col min="6" max="6" width="14" style="1" customWidth="1"/>
    <col min="7" max="7" width="11.7265625" customWidth="1"/>
    <col min="8" max="8" width="12" customWidth="1"/>
    <col min="9" max="9" width="11.7265625" customWidth="1"/>
    <col min="10" max="10" width="11.26953125" customWidth="1"/>
    <col min="11" max="11" width="14" style="1" customWidth="1"/>
    <col min="12" max="12" width="12.26953125" customWidth="1"/>
    <col min="13" max="13" width="10.81640625" customWidth="1"/>
    <col min="14" max="14" width="11" customWidth="1"/>
    <col min="15" max="15" width="10.453125" customWidth="1"/>
    <col min="16" max="16" width="14" style="1" customWidth="1"/>
    <col min="17" max="17" width="9.1796875" style="1"/>
  </cols>
  <sheetData>
    <row r="1" spans="1:17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10</v>
      </c>
      <c r="L1" t="s">
        <v>6</v>
      </c>
      <c r="M1" t="s">
        <v>7</v>
      </c>
      <c r="N1" t="s">
        <v>8</v>
      </c>
      <c r="O1" t="s">
        <v>9</v>
      </c>
      <c r="P1" s="1" t="s">
        <v>11</v>
      </c>
      <c r="Q1" s="1" t="s">
        <v>1</v>
      </c>
    </row>
    <row r="2" spans="1:17" x14ac:dyDescent="0.35">
      <c r="A2" s="1">
        <v>1990</v>
      </c>
      <c r="B2" s="1">
        <v>0.1</v>
      </c>
      <c r="C2" s="1">
        <v>0.3</v>
      </c>
      <c r="D2" s="1">
        <v>0.3</v>
      </c>
      <c r="E2" s="1">
        <v>0.3</v>
      </c>
      <c r="F2" s="1">
        <f t="shared" ref="F2:F25" si="0">AVERAGE(B2:E2)</f>
        <v>0.25</v>
      </c>
      <c r="G2" s="1">
        <v>4.3999999999999999E-5</v>
      </c>
      <c r="H2" s="1">
        <v>2.2499999999999999E-4</v>
      </c>
      <c r="I2" s="1">
        <v>9.1090000000000008E-3</v>
      </c>
      <c r="J2" s="1">
        <v>9.9299999999999996E-4</v>
      </c>
      <c r="K2" s="1">
        <v>27.914367816091954</v>
      </c>
      <c r="L2">
        <v>283.99163800000002</v>
      </c>
      <c r="M2">
        <v>298.26886000000002</v>
      </c>
      <c r="N2">
        <v>292.76458700000001</v>
      </c>
      <c r="O2">
        <v>283.91494799999998</v>
      </c>
      <c r="P2" s="1">
        <v>16.955885973981985</v>
      </c>
      <c r="Q2" s="1">
        <v>-1.6158999999999999</v>
      </c>
    </row>
    <row r="3" spans="1:17" x14ac:dyDescent="0.35">
      <c r="A3" s="1">
        <v>1991</v>
      </c>
      <c r="B3" s="1">
        <v>0.4</v>
      </c>
      <c r="C3" s="1">
        <v>0.3</v>
      </c>
      <c r="D3" s="1">
        <v>0.7</v>
      </c>
      <c r="E3" s="1">
        <v>0.8</v>
      </c>
      <c r="F3" s="1">
        <f t="shared" si="0"/>
        <v>0.55000000000000004</v>
      </c>
      <c r="G3" s="1">
        <v>2.7700000000000001E-4</v>
      </c>
      <c r="H3" s="1">
        <v>9.0300000000000005E-4</v>
      </c>
      <c r="I3" s="1">
        <v>1.0323000000000001E-2</v>
      </c>
      <c r="J3" s="1">
        <v>4.7699999999999999E-4</v>
      </c>
      <c r="K3" s="1">
        <v>26.868103448275861</v>
      </c>
      <c r="L3">
        <v>284.67529300000001</v>
      </c>
      <c r="M3">
        <v>297.52926600000001</v>
      </c>
      <c r="N3">
        <v>292.75778200000002</v>
      </c>
      <c r="O3">
        <v>283.85513300000002</v>
      </c>
      <c r="P3" s="1">
        <v>16.443750000000001</v>
      </c>
      <c r="Q3" s="1">
        <v>-1.9199083333333329</v>
      </c>
    </row>
    <row r="4" spans="1:17" x14ac:dyDescent="0.35">
      <c r="A4" s="1">
        <v>1992</v>
      </c>
      <c r="B4" s="1">
        <v>1.7</v>
      </c>
      <c r="C4" s="1">
        <v>1.3</v>
      </c>
      <c r="D4" s="1">
        <v>0.4</v>
      </c>
      <c r="E4" s="1">
        <v>-0.2</v>
      </c>
      <c r="F4" s="1">
        <f t="shared" si="0"/>
        <v>0.79999999999999993</v>
      </c>
      <c r="G4" s="1">
        <v>6.9800000000000005E-4</v>
      </c>
      <c r="H4" s="1">
        <v>1.3829999999999999E-3</v>
      </c>
      <c r="I4" s="1">
        <v>6.9100000000000003E-3</v>
      </c>
      <c r="J4" s="1">
        <v>2.5739999999999999E-3</v>
      </c>
      <c r="K4" s="1">
        <v>42.156321839080448</v>
      </c>
      <c r="L4">
        <v>283.41799900000001</v>
      </c>
      <c r="M4">
        <v>297.63714599999997</v>
      </c>
      <c r="N4">
        <v>293.17416400000002</v>
      </c>
      <c r="O4">
        <v>283.07412699999998</v>
      </c>
      <c r="P4" s="1">
        <v>15.480729166666665</v>
      </c>
      <c r="Q4" s="1">
        <v>-0.52393333333333336</v>
      </c>
    </row>
    <row r="5" spans="1:17" x14ac:dyDescent="0.35">
      <c r="A5" s="1">
        <v>1993</v>
      </c>
      <c r="B5" s="1">
        <v>0.1</v>
      </c>
      <c r="C5" s="1">
        <v>0.7</v>
      </c>
      <c r="D5" s="1">
        <v>0.3</v>
      </c>
      <c r="E5" s="1">
        <v>0.1</v>
      </c>
      <c r="F5" s="1">
        <f t="shared" si="0"/>
        <v>0.3</v>
      </c>
      <c r="G5" s="1">
        <v>6.1799999999999995E-4</v>
      </c>
      <c r="H5" s="1">
        <v>2.97E-3</v>
      </c>
      <c r="I5" s="1">
        <v>8.1530000000000005E-3</v>
      </c>
      <c r="J5" s="1">
        <v>3.0699999999999998E-3</v>
      </c>
      <c r="K5" s="1">
        <v>49.135632183908051</v>
      </c>
      <c r="L5">
        <v>283.82788099999999</v>
      </c>
      <c r="M5">
        <v>295.29953</v>
      </c>
      <c r="N5">
        <v>292.83056599999998</v>
      </c>
      <c r="O5">
        <v>283.732574</v>
      </c>
      <c r="P5" s="1">
        <v>16.469791666666666</v>
      </c>
      <c r="Q5" s="1">
        <v>-1.999716666666667</v>
      </c>
    </row>
    <row r="6" spans="1:17" x14ac:dyDescent="0.35">
      <c r="A6" s="1">
        <v>1994</v>
      </c>
      <c r="B6" s="1">
        <v>0.1</v>
      </c>
      <c r="C6" s="1">
        <v>0.3</v>
      </c>
      <c r="D6" s="1">
        <v>0.4</v>
      </c>
      <c r="E6" s="1">
        <v>0.7</v>
      </c>
      <c r="F6" s="1">
        <f t="shared" si="0"/>
        <v>0.375</v>
      </c>
      <c r="G6" s="1">
        <v>3.8000000000000002E-5</v>
      </c>
      <c r="H6" s="1">
        <v>3.4000000000000002E-4</v>
      </c>
      <c r="I6" s="1">
        <v>1.3611E-2</v>
      </c>
      <c r="J6" s="1">
        <v>6.6000000000000005E-5</v>
      </c>
      <c r="K6" s="1">
        <v>51.107183908045968</v>
      </c>
      <c r="L6">
        <v>283.73632800000001</v>
      </c>
      <c r="M6">
        <v>298.595978</v>
      </c>
      <c r="N6">
        <v>292.362976</v>
      </c>
      <c r="O6">
        <v>283.45751999999999</v>
      </c>
      <c r="P6" s="1">
        <v>16.82822056957799</v>
      </c>
      <c r="Q6" s="1">
        <v>-1.6981333333333331</v>
      </c>
    </row>
    <row r="7" spans="1:17" x14ac:dyDescent="0.35">
      <c r="A7" s="1">
        <v>1995</v>
      </c>
      <c r="B7" s="1">
        <v>1</v>
      </c>
      <c r="C7" s="1">
        <v>0.3</v>
      </c>
      <c r="D7" s="1">
        <v>-0.2</v>
      </c>
      <c r="E7" s="1">
        <v>-1</v>
      </c>
      <c r="F7" s="1">
        <f t="shared" si="0"/>
        <v>2.5000000000000022E-2</v>
      </c>
      <c r="G7" s="1">
        <v>1.9999999999999999E-6</v>
      </c>
      <c r="H7" s="1">
        <v>7.2900000000000005E-4</v>
      </c>
      <c r="I7" s="1">
        <v>1.15E-2</v>
      </c>
      <c r="J7" s="1">
        <v>1.8599999999999999E-4</v>
      </c>
      <c r="K7" s="1">
        <v>54.470088819226767</v>
      </c>
      <c r="L7">
        <v>284.01516700000002</v>
      </c>
      <c r="M7">
        <v>297.91305499999999</v>
      </c>
      <c r="N7">
        <v>292.92681900000002</v>
      </c>
      <c r="O7">
        <v>284.21987899999999</v>
      </c>
      <c r="P7" s="1">
        <v>17.155097322382481</v>
      </c>
      <c r="Q7" s="1">
        <v>-0.89100833333333329</v>
      </c>
    </row>
    <row r="8" spans="1:17" x14ac:dyDescent="0.35">
      <c r="A8" s="1">
        <v>1996</v>
      </c>
      <c r="B8" s="1">
        <v>-0.9</v>
      </c>
      <c r="C8" s="1">
        <v>-0.4</v>
      </c>
      <c r="D8" s="1">
        <v>-0.3</v>
      </c>
      <c r="E8" s="1">
        <v>-0.4</v>
      </c>
      <c r="F8" s="1">
        <f t="shared" si="0"/>
        <v>-0.5</v>
      </c>
      <c r="G8" s="1">
        <v>5.8699999999999996E-4</v>
      </c>
      <c r="H8" s="1">
        <v>7.3159999999999996E-3</v>
      </c>
      <c r="I8" s="1">
        <v>9.4319999999999994E-3</v>
      </c>
      <c r="J8" s="1">
        <v>5.0000000000000002E-5</v>
      </c>
      <c r="K8" s="1">
        <v>69.269305120167189</v>
      </c>
      <c r="L8">
        <v>283.41967799999998</v>
      </c>
      <c r="M8">
        <v>295.497589</v>
      </c>
      <c r="N8">
        <v>292.812073</v>
      </c>
      <c r="O8">
        <v>284.11523399999999</v>
      </c>
      <c r="P8" s="1">
        <v>17.003554854433759</v>
      </c>
      <c r="Q8" s="1">
        <v>-1.3971999999999998</v>
      </c>
    </row>
    <row r="9" spans="1:17" x14ac:dyDescent="0.35">
      <c r="A9" s="1">
        <v>1997</v>
      </c>
      <c r="B9" s="1">
        <v>-0.5</v>
      </c>
      <c r="C9" s="1">
        <v>0.3</v>
      </c>
      <c r="D9" s="1">
        <v>1.6</v>
      </c>
      <c r="E9" s="1">
        <v>2.2999999999999998</v>
      </c>
      <c r="F9" s="1">
        <f t="shared" si="0"/>
        <v>0.92500000000000004</v>
      </c>
      <c r="G9" s="1">
        <v>6.6000000000000005E-5</v>
      </c>
      <c r="H9" s="1">
        <v>1.126E-3</v>
      </c>
      <c r="I9" s="1">
        <v>1.1018E-2</v>
      </c>
      <c r="J9" s="1">
        <v>6.0020000000000004E-3</v>
      </c>
      <c r="K9" s="1">
        <v>103.01052769070009</v>
      </c>
      <c r="L9">
        <v>284.08654799999999</v>
      </c>
      <c r="M9">
        <v>297.78466800000001</v>
      </c>
      <c r="N9">
        <v>292.84539799999999</v>
      </c>
      <c r="O9">
        <v>284.40969799999999</v>
      </c>
      <c r="P9" s="1">
        <v>17.501080061431619</v>
      </c>
      <c r="Q9" s="1">
        <v>-9.7658333333333333E-2</v>
      </c>
    </row>
    <row r="10" spans="1:17" x14ac:dyDescent="0.35">
      <c r="A10" s="1">
        <v>1998</v>
      </c>
      <c r="B10" s="1">
        <v>2.2000000000000002</v>
      </c>
      <c r="C10" s="1">
        <v>1</v>
      </c>
      <c r="D10" s="1">
        <v>-0.8</v>
      </c>
      <c r="E10" s="1">
        <v>-1.4</v>
      </c>
      <c r="F10" s="1">
        <f t="shared" si="0"/>
        <v>0.25000000000000011</v>
      </c>
      <c r="G10" s="1">
        <v>2.5799999999999998E-4</v>
      </c>
      <c r="H10" s="1">
        <v>2.1480000000000002E-3</v>
      </c>
      <c r="I10" s="1">
        <v>1.1949E-2</v>
      </c>
      <c r="J10" s="1">
        <v>1.2229999999999999E-3</v>
      </c>
      <c r="K10" s="1">
        <v>77.409456635318705</v>
      </c>
      <c r="L10">
        <v>285.563019</v>
      </c>
      <c r="M10">
        <v>297.93627900000001</v>
      </c>
      <c r="N10">
        <v>292.82009900000003</v>
      </c>
      <c r="O10">
        <v>284.33047499999998</v>
      </c>
      <c r="P10" s="1">
        <v>17.385121345668217</v>
      </c>
      <c r="Q10" s="1">
        <v>-1.7240166666666668</v>
      </c>
    </row>
    <row r="11" spans="1:17" x14ac:dyDescent="0.35">
      <c r="A11" s="1">
        <v>1999</v>
      </c>
      <c r="B11" s="1">
        <v>-1.5</v>
      </c>
      <c r="C11" s="1">
        <v>-1</v>
      </c>
      <c r="D11" s="1">
        <v>-1.1000000000000001</v>
      </c>
      <c r="E11" s="1">
        <v>-1.3</v>
      </c>
      <c r="F11" s="1">
        <f t="shared" si="0"/>
        <v>-1.2250000000000001</v>
      </c>
      <c r="G11" s="1">
        <v>6.3100000000000005E-4</v>
      </c>
      <c r="H11" s="1">
        <v>2.0799999999999999E-4</v>
      </c>
      <c r="I11" s="1">
        <v>1.1802999999999999E-2</v>
      </c>
      <c r="J11" s="1">
        <v>2.64E-3</v>
      </c>
      <c r="K11" s="1">
        <v>78.327298850574721</v>
      </c>
      <c r="L11">
        <v>283.31133999999997</v>
      </c>
      <c r="M11">
        <v>298.69638099999997</v>
      </c>
      <c r="N11">
        <v>291.96078499999999</v>
      </c>
      <c r="O11">
        <v>283.98818999999997</v>
      </c>
      <c r="P11" s="1">
        <v>17.527381429334554</v>
      </c>
      <c r="Q11" s="1">
        <v>-0.74313333333333331</v>
      </c>
    </row>
    <row r="12" spans="1:17" x14ac:dyDescent="0.35">
      <c r="A12" s="1">
        <v>2000</v>
      </c>
      <c r="B12" s="1">
        <v>-1.7</v>
      </c>
      <c r="C12" s="1">
        <v>-0.8</v>
      </c>
      <c r="D12" s="1">
        <v>-0.6</v>
      </c>
      <c r="E12" s="1">
        <v>-0.6</v>
      </c>
      <c r="F12" s="1">
        <f t="shared" si="0"/>
        <v>-0.92500000000000004</v>
      </c>
      <c r="G12" s="1">
        <v>1.9999999999999999E-6</v>
      </c>
      <c r="H12" s="1">
        <v>1.2769999999999999E-3</v>
      </c>
      <c r="I12" s="1">
        <v>8.77E-3</v>
      </c>
      <c r="J12" s="1">
        <v>2.7490000000000001E-3</v>
      </c>
      <c r="K12" s="1">
        <v>83.105459770114933</v>
      </c>
      <c r="L12">
        <v>283.55239899999998</v>
      </c>
      <c r="M12">
        <v>297.478027</v>
      </c>
      <c r="N12">
        <v>292.76333599999998</v>
      </c>
      <c r="O12">
        <v>283.84243800000002</v>
      </c>
      <c r="P12" s="1">
        <v>17.008463541666664</v>
      </c>
      <c r="Q12" s="1">
        <v>-0.50870000000000004</v>
      </c>
    </row>
    <row r="13" spans="1:17" x14ac:dyDescent="0.35">
      <c r="A13" s="1">
        <v>2001</v>
      </c>
      <c r="B13" s="1">
        <v>-0.7</v>
      </c>
      <c r="C13" s="1">
        <v>-0.3</v>
      </c>
      <c r="D13" s="1">
        <v>-0.1</v>
      </c>
      <c r="E13" s="1">
        <v>-0.3</v>
      </c>
      <c r="F13" s="1">
        <f t="shared" si="0"/>
        <v>-0.35000000000000003</v>
      </c>
      <c r="G13" s="1">
        <v>2.9E-5</v>
      </c>
      <c r="H13" s="1">
        <v>8.3900000000000001E-4</v>
      </c>
      <c r="I13" s="1">
        <v>1.3913999999999999E-2</v>
      </c>
      <c r="J13" s="1">
        <v>3.0699999999999998E-4</v>
      </c>
      <c r="K13" s="1">
        <v>75.612068965517238</v>
      </c>
      <c r="L13">
        <v>283.92361499999998</v>
      </c>
      <c r="M13">
        <v>298.19101000000001</v>
      </c>
      <c r="N13">
        <v>292.312408</v>
      </c>
      <c r="O13">
        <v>284.47323599999999</v>
      </c>
      <c r="P13" s="1">
        <v>17.800204417977856</v>
      </c>
      <c r="Q13" s="1">
        <v>-2.1241750000000001</v>
      </c>
    </row>
    <row r="14" spans="1:17" x14ac:dyDescent="0.35">
      <c r="A14" s="1">
        <v>2002</v>
      </c>
      <c r="B14" s="1">
        <v>-0.1</v>
      </c>
      <c r="C14" s="1">
        <v>0.2</v>
      </c>
      <c r="D14" s="1">
        <v>0.8</v>
      </c>
      <c r="E14" s="1">
        <v>1.2</v>
      </c>
      <c r="F14" s="1">
        <f t="shared" si="0"/>
        <v>0.52500000000000002</v>
      </c>
      <c r="G14" s="1">
        <v>3.6099999999999999E-4</v>
      </c>
      <c r="H14" s="1">
        <v>2.0599999999999999E-4</v>
      </c>
      <c r="I14" s="1">
        <v>7.3460000000000001E-3</v>
      </c>
      <c r="J14" s="1">
        <v>4.8799999999999999E-4</v>
      </c>
      <c r="K14" s="1">
        <v>68.243678160919544</v>
      </c>
      <c r="L14">
        <v>283.66409299999998</v>
      </c>
      <c r="M14">
        <v>298.776276</v>
      </c>
      <c r="N14">
        <v>293.88665800000001</v>
      </c>
      <c r="O14">
        <v>284.75872800000002</v>
      </c>
      <c r="P14" s="1">
        <v>17.283005308493589</v>
      </c>
      <c r="Q14" s="1">
        <v>-2.4749499999999998</v>
      </c>
    </row>
    <row r="15" spans="1:17" x14ac:dyDescent="0.35">
      <c r="A15" s="1">
        <v>2003</v>
      </c>
      <c r="B15" s="1">
        <v>0.9</v>
      </c>
      <c r="C15" s="1">
        <v>0</v>
      </c>
      <c r="D15" s="1">
        <v>0.1</v>
      </c>
      <c r="E15" s="1">
        <v>0.3</v>
      </c>
      <c r="F15" s="1">
        <f t="shared" si="0"/>
        <v>0.32500000000000001</v>
      </c>
      <c r="G15" s="1">
        <v>1.45E-4</v>
      </c>
      <c r="H15" s="1">
        <v>2.5500000000000002E-4</v>
      </c>
      <c r="I15" s="1">
        <v>8.456E-3</v>
      </c>
      <c r="J15" s="1">
        <v>1.3200000000000001E-4</v>
      </c>
      <c r="K15" s="1">
        <v>71.802298850574715</v>
      </c>
      <c r="L15">
        <v>284.566956</v>
      </c>
      <c r="M15">
        <v>298.97430400000002</v>
      </c>
      <c r="N15">
        <v>292.64367700000003</v>
      </c>
      <c r="O15">
        <v>284.23483299999998</v>
      </c>
      <c r="P15" s="1">
        <v>17.930081881009617</v>
      </c>
      <c r="Q15" s="1">
        <v>-1.9609666666666667</v>
      </c>
    </row>
    <row r="16" spans="1:17" x14ac:dyDescent="0.35">
      <c r="A16" s="1">
        <v>2004</v>
      </c>
      <c r="B16" s="1">
        <v>0.4</v>
      </c>
      <c r="C16" s="1">
        <v>0.2</v>
      </c>
      <c r="D16" s="1">
        <v>0.5</v>
      </c>
      <c r="E16" s="1">
        <v>0.7</v>
      </c>
      <c r="F16" s="1">
        <f t="shared" si="0"/>
        <v>0.45</v>
      </c>
      <c r="G16" s="1">
        <v>1.7799999999999999E-4</v>
      </c>
      <c r="H16" s="1">
        <v>2.5700000000000001E-4</v>
      </c>
      <c r="I16" s="1">
        <v>8.5660000000000007E-3</v>
      </c>
      <c r="J16" s="1">
        <v>5.2300000000000003E-4</v>
      </c>
      <c r="K16" s="1">
        <v>69.913793103448285</v>
      </c>
      <c r="L16">
        <v>285.19601399999999</v>
      </c>
      <c r="M16">
        <v>298.57003800000001</v>
      </c>
      <c r="N16">
        <v>292.54126000000002</v>
      </c>
      <c r="O16">
        <v>283.89102200000002</v>
      </c>
      <c r="P16" s="1">
        <v>18.786942232572116</v>
      </c>
      <c r="Q16" s="1">
        <v>-0.64805000000000013</v>
      </c>
    </row>
    <row r="17" spans="1:17" x14ac:dyDescent="0.35">
      <c r="A17" s="1">
        <v>2005</v>
      </c>
      <c r="B17" s="1">
        <v>0.6</v>
      </c>
      <c r="C17" s="1">
        <v>0.4</v>
      </c>
      <c r="D17" s="1">
        <v>-0.1</v>
      </c>
      <c r="E17" s="1">
        <v>-0.3</v>
      </c>
      <c r="F17" s="1">
        <f t="shared" si="0"/>
        <v>0.15000000000000002</v>
      </c>
      <c r="G17" s="1">
        <v>8.2000000000000001E-5</v>
      </c>
      <c r="H17" s="1">
        <v>3.1159999999999998E-3</v>
      </c>
      <c r="I17" s="1">
        <v>1.1551000000000001E-2</v>
      </c>
      <c r="J17" s="1">
        <v>1.75E-4</v>
      </c>
      <c r="K17" s="1">
        <v>76.3086206896552</v>
      </c>
      <c r="L17">
        <v>284.604736</v>
      </c>
      <c r="M17">
        <v>297.00613399999997</v>
      </c>
      <c r="N17">
        <v>292.266144</v>
      </c>
      <c r="O17">
        <v>284.26919600000002</v>
      </c>
      <c r="P17" s="1">
        <v>19.190828450520836</v>
      </c>
      <c r="Q17" s="1">
        <v>-1.2364916666666668</v>
      </c>
    </row>
    <row r="18" spans="1:17" x14ac:dyDescent="0.35">
      <c r="A18" s="1">
        <v>2006</v>
      </c>
      <c r="B18" s="1">
        <v>-0.9</v>
      </c>
      <c r="C18" s="1">
        <v>-0.4</v>
      </c>
      <c r="D18" s="1">
        <v>0.1</v>
      </c>
      <c r="E18" s="1">
        <v>0.8</v>
      </c>
      <c r="F18" s="1">
        <f t="shared" si="0"/>
        <v>-9.9999999999999978E-2</v>
      </c>
      <c r="G18" s="1">
        <v>1.5999999999999999E-5</v>
      </c>
      <c r="H18" s="1">
        <v>1.8400000000000001E-3</v>
      </c>
      <c r="I18" s="1">
        <v>1.4529E-2</v>
      </c>
      <c r="J18" s="1">
        <v>1.005E-3</v>
      </c>
      <c r="K18" s="1">
        <v>95.164942528735637</v>
      </c>
      <c r="L18">
        <v>284.58123799999998</v>
      </c>
      <c r="M18">
        <v>297.22195399999998</v>
      </c>
      <c r="N18">
        <v>292.83303799999999</v>
      </c>
      <c r="O18">
        <v>284.58386200000001</v>
      </c>
      <c r="P18" s="1">
        <v>19.116626602564107</v>
      </c>
      <c r="Q18" s="1">
        <v>-0.5243000000000001</v>
      </c>
    </row>
    <row r="19" spans="1:17" x14ac:dyDescent="0.35">
      <c r="A19" s="1">
        <v>2007</v>
      </c>
      <c r="B19" s="1">
        <v>0.7</v>
      </c>
      <c r="C19" s="1">
        <v>-0.3</v>
      </c>
      <c r="D19" s="1">
        <v>-0.6</v>
      </c>
      <c r="E19" s="1">
        <v>-1.3</v>
      </c>
      <c r="F19" s="1">
        <f t="shared" si="0"/>
        <v>-0.375</v>
      </c>
      <c r="G19" s="1">
        <v>3.6400000000000001E-4</v>
      </c>
      <c r="H19" s="1">
        <v>2.8299999999999999E-4</v>
      </c>
      <c r="I19" s="1">
        <v>1.2903E-2</v>
      </c>
      <c r="J19" s="1">
        <v>9.0000000000000006E-5</v>
      </c>
      <c r="K19" s="1">
        <v>89.39229362591432</v>
      </c>
      <c r="L19">
        <v>284.488831</v>
      </c>
      <c r="M19">
        <v>298.639679</v>
      </c>
      <c r="N19">
        <v>292.19705199999999</v>
      </c>
      <c r="O19">
        <v>283.562164</v>
      </c>
      <c r="P19" s="1">
        <v>19.179351963141027</v>
      </c>
      <c r="Q19" s="1">
        <v>-0.94086666666666663</v>
      </c>
    </row>
    <row r="20" spans="1:17" x14ac:dyDescent="0.35">
      <c r="A20" s="1">
        <v>2008</v>
      </c>
      <c r="B20" s="1">
        <v>-1.6</v>
      </c>
      <c r="C20" s="1">
        <v>-1</v>
      </c>
      <c r="D20" s="1">
        <v>-0.4</v>
      </c>
      <c r="E20" s="1">
        <v>-0.4</v>
      </c>
      <c r="F20" s="1">
        <f t="shared" si="0"/>
        <v>-0.85</v>
      </c>
      <c r="G20" s="1">
        <v>4.8500000000000003E-4</v>
      </c>
      <c r="H20" s="1">
        <v>1.4829999999999999E-3</v>
      </c>
      <c r="I20" s="1">
        <v>8.0730000000000003E-3</v>
      </c>
      <c r="J20" s="1">
        <v>1.8420000000000001E-3</v>
      </c>
      <c r="K20" s="1">
        <v>88.974712643678146</v>
      </c>
      <c r="L20">
        <v>284.021027</v>
      </c>
      <c r="M20">
        <v>297.226044</v>
      </c>
      <c r="N20">
        <v>292.94409200000001</v>
      </c>
      <c r="O20">
        <v>285.00613399999997</v>
      </c>
      <c r="P20" s="1">
        <v>17.847325721153851</v>
      </c>
      <c r="Q20" s="1">
        <v>-1.3987333333333332</v>
      </c>
    </row>
    <row r="21" spans="1:17" x14ac:dyDescent="0.35">
      <c r="A21" s="1">
        <v>2009</v>
      </c>
      <c r="B21" s="1">
        <v>-0.8</v>
      </c>
      <c r="C21" s="1">
        <v>-0.3</v>
      </c>
      <c r="D21" s="1">
        <v>0.5</v>
      </c>
      <c r="E21" s="1">
        <v>1</v>
      </c>
      <c r="F21" s="1">
        <f t="shared" si="0"/>
        <v>9.9999999999999978E-2</v>
      </c>
      <c r="G21" s="1">
        <v>5.1E-5</v>
      </c>
      <c r="H21" s="1">
        <v>1.3200000000000001E-4</v>
      </c>
      <c r="I21" s="1">
        <v>8.6630000000000006E-3</v>
      </c>
      <c r="J21" s="1">
        <v>2.5010000000000002E-3</v>
      </c>
      <c r="K21" s="1">
        <v>68.86452455590387</v>
      </c>
      <c r="L21">
        <v>284.39562999999998</v>
      </c>
      <c r="M21">
        <v>298.65469400000001</v>
      </c>
      <c r="N21">
        <v>292.958282</v>
      </c>
      <c r="O21">
        <v>284.47250400000001</v>
      </c>
      <c r="P21" s="1">
        <v>18.217052283653846</v>
      </c>
      <c r="Q21" s="1">
        <v>-0.89822499999999994</v>
      </c>
    </row>
    <row r="22" spans="1:17" x14ac:dyDescent="0.35">
      <c r="A22" s="1">
        <v>2010</v>
      </c>
      <c r="B22" s="1">
        <v>1.5</v>
      </c>
      <c r="C22" s="1">
        <v>0.4</v>
      </c>
      <c r="D22" s="1">
        <v>-1</v>
      </c>
      <c r="E22" s="1">
        <v>-1.6</v>
      </c>
      <c r="F22" s="1">
        <f t="shared" si="0"/>
        <v>-0.17500000000000004</v>
      </c>
      <c r="G22" s="1">
        <v>1.9000000000000001E-5</v>
      </c>
      <c r="H22" s="1">
        <v>1.8140000000000001E-3</v>
      </c>
      <c r="I22" s="1">
        <v>9.1579999999999995E-3</v>
      </c>
      <c r="J22" s="1">
        <v>1.07E-4</v>
      </c>
      <c r="K22" s="1">
        <v>90.187147335423191</v>
      </c>
      <c r="L22">
        <v>283.85391199999998</v>
      </c>
      <c r="M22">
        <v>298.291382</v>
      </c>
      <c r="N22">
        <v>293.001465</v>
      </c>
      <c r="O22">
        <v>284.177277</v>
      </c>
      <c r="P22" s="1">
        <v>18.263992387820515</v>
      </c>
      <c r="Q22" s="1">
        <v>-0.95575833333333327</v>
      </c>
    </row>
    <row r="23" spans="1:17" x14ac:dyDescent="0.35">
      <c r="A23" s="1">
        <v>2011</v>
      </c>
      <c r="B23" s="1">
        <v>-1.4</v>
      </c>
      <c r="C23" s="1">
        <v>-0.7</v>
      </c>
      <c r="D23" s="1">
        <v>-0.5</v>
      </c>
      <c r="E23" s="1">
        <v>-1</v>
      </c>
      <c r="F23" s="1">
        <f t="shared" si="0"/>
        <v>-0.89999999999999991</v>
      </c>
      <c r="G23" s="1">
        <v>2.4000000000000001E-4</v>
      </c>
      <c r="H23" s="1">
        <v>1.062E-3</v>
      </c>
      <c r="I23" s="1">
        <v>8.6250000000000007E-3</v>
      </c>
      <c r="J23" s="1">
        <v>3.6000000000000001E-5</v>
      </c>
      <c r="K23" s="1">
        <v>100.40258620689657</v>
      </c>
      <c r="L23">
        <v>283.86566199999999</v>
      </c>
      <c r="M23">
        <v>297.15707400000002</v>
      </c>
      <c r="N23">
        <v>293.12914999999998</v>
      </c>
      <c r="O23">
        <v>283.85363799999999</v>
      </c>
      <c r="P23" s="1">
        <v>17.888487033799539</v>
      </c>
      <c r="Q23" s="1">
        <v>-1.0079583333333333</v>
      </c>
    </row>
    <row r="24" spans="1:17" x14ac:dyDescent="0.35">
      <c r="A24" s="1">
        <v>2012</v>
      </c>
      <c r="B24" s="1">
        <v>-0.9</v>
      </c>
      <c r="C24" s="1">
        <v>-0.5</v>
      </c>
      <c r="D24" s="1">
        <v>0.2</v>
      </c>
      <c r="E24" s="1">
        <v>0.3</v>
      </c>
      <c r="F24" s="1">
        <f t="shared" si="0"/>
        <v>-0.22499999999999998</v>
      </c>
      <c r="G24" s="1">
        <v>1.5E-5</v>
      </c>
      <c r="H24" s="1">
        <v>2.0270000000000002E-3</v>
      </c>
      <c r="I24" s="1">
        <v>1.1842999999999999E-2</v>
      </c>
      <c r="J24" s="1">
        <v>7.5500000000000003E-4</v>
      </c>
      <c r="K24" s="1">
        <v>92.523197492163007</v>
      </c>
      <c r="L24">
        <v>284.303223</v>
      </c>
      <c r="M24">
        <v>297.85501099999999</v>
      </c>
      <c r="N24">
        <v>292.854645</v>
      </c>
      <c r="O24">
        <v>284.15783699999997</v>
      </c>
      <c r="P24" s="1">
        <v>18.314739947552447</v>
      </c>
      <c r="Q24" s="1">
        <v>8.120000000000005E-2</v>
      </c>
    </row>
    <row r="25" spans="1:17" x14ac:dyDescent="0.35">
      <c r="A25" s="1">
        <v>2013</v>
      </c>
      <c r="B25" s="1">
        <v>-0.4</v>
      </c>
      <c r="C25" s="1">
        <v>-0.3</v>
      </c>
      <c r="D25" s="1">
        <v>-0.4</v>
      </c>
      <c r="E25" s="1">
        <v>-0.2</v>
      </c>
      <c r="F25" s="1">
        <f t="shared" si="0"/>
        <v>-0.32500000000000001</v>
      </c>
      <c r="G25" s="1">
        <v>8.3999999999999995E-5</v>
      </c>
      <c r="H25" s="1">
        <v>3.3599999999999998E-4</v>
      </c>
      <c r="I25" s="1">
        <v>9.4459999999999995E-3</v>
      </c>
      <c r="J25" s="1">
        <v>1.694E-3</v>
      </c>
      <c r="K25" s="1">
        <v>104.24431034482755</v>
      </c>
      <c r="L25">
        <v>284.47287</v>
      </c>
      <c r="M25">
        <v>298.79538000000002</v>
      </c>
      <c r="N25">
        <v>292.253174</v>
      </c>
      <c r="O25">
        <v>283.85140999999999</v>
      </c>
      <c r="P25" s="1">
        <v>17.85618990384615</v>
      </c>
      <c r="Q25" s="1">
        <v>0.90810769230769217</v>
      </c>
    </row>
    <row r="26" spans="1:17" x14ac:dyDescent="0.35">
      <c r="A26" s="1">
        <v>2014</v>
      </c>
      <c r="B26" s="1">
        <v>-0.4</v>
      </c>
      <c r="C26" s="1">
        <v>0</v>
      </c>
      <c r="D26" s="1">
        <v>0</v>
      </c>
      <c r="E26" s="1">
        <v>0.5</v>
      </c>
      <c r="F26" s="1">
        <f t="shared" ref="F26:F38" si="1">AVERAGE(B26:E26)</f>
        <v>2.4999999999999994E-2</v>
      </c>
      <c r="G26" s="1">
        <v>7.7000000000000001E-5</v>
      </c>
      <c r="H26" s="1">
        <v>4.5589999999999997E-3</v>
      </c>
      <c r="I26" s="1">
        <v>9.0039999999999999E-3</v>
      </c>
      <c r="J26" s="1">
        <v>8.9400000000000005E-4</v>
      </c>
      <c r="K26" s="1">
        <v>109.91149425287357</v>
      </c>
      <c r="L26">
        <v>284.04959100000002</v>
      </c>
      <c r="M26">
        <v>295.92440800000003</v>
      </c>
      <c r="N26">
        <v>293.33270299999998</v>
      </c>
      <c r="O26">
        <v>284.51806599999998</v>
      </c>
      <c r="P26" s="1">
        <v>18.262199519230769</v>
      </c>
      <c r="Q26" s="1">
        <v>-2.3542000000000001</v>
      </c>
    </row>
    <row r="27" spans="1:17" x14ac:dyDescent="0.35">
      <c r="A27" s="1">
        <v>2015</v>
      </c>
      <c r="B27" s="1">
        <v>0.5</v>
      </c>
      <c r="C27" s="1">
        <v>0.7</v>
      </c>
      <c r="D27" s="1">
        <v>1.5</v>
      </c>
      <c r="E27" s="1">
        <v>2.4</v>
      </c>
      <c r="F27" s="1">
        <f t="shared" si="1"/>
        <v>1.2749999999999999</v>
      </c>
      <c r="G27" s="1">
        <v>7.8999999999999996E-5</v>
      </c>
      <c r="H27" s="1">
        <v>4.032E-3</v>
      </c>
      <c r="I27" s="1">
        <v>5.2690000000000002E-3</v>
      </c>
      <c r="J27" s="1">
        <v>4.1599999999999997E-4</v>
      </c>
      <c r="K27" s="1">
        <v>92.92672413793106</v>
      </c>
      <c r="L27">
        <v>284.08151199999998</v>
      </c>
      <c r="M27">
        <v>297.135223</v>
      </c>
      <c r="N27">
        <v>294.17105099999998</v>
      </c>
      <c r="O27">
        <v>285.29986600000001</v>
      </c>
      <c r="P27" s="1">
        <v>18.707706876456879</v>
      </c>
      <c r="Q27" s="1">
        <v>-3.6110000000000002</v>
      </c>
    </row>
    <row r="28" spans="1:17" x14ac:dyDescent="0.35">
      <c r="A28" s="1">
        <v>2016</v>
      </c>
      <c r="B28" s="1">
        <v>2.5</v>
      </c>
      <c r="C28" s="1">
        <v>0.9</v>
      </c>
      <c r="D28" s="1">
        <v>-0.4</v>
      </c>
      <c r="E28" s="1">
        <v>-0.7</v>
      </c>
      <c r="F28" s="1">
        <f t="shared" si="1"/>
        <v>0.57499999999999996</v>
      </c>
      <c r="G28" s="1">
        <v>2.7300000000000002E-4</v>
      </c>
      <c r="H28" s="1">
        <v>3.4139999999999999E-3</v>
      </c>
      <c r="I28" s="1">
        <v>1.226E-2</v>
      </c>
      <c r="J28" s="1">
        <v>1.9469999999999999E-3</v>
      </c>
      <c r="K28" s="1">
        <v>101.18808777429466</v>
      </c>
      <c r="L28">
        <v>285.01544200000001</v>
      </c>
      <c r="M28">
        <v>296.62847900000003</v>
      </c>
      <c r="N28">
        <v>292.721405</v>
      </c>
      <c r="O28">
        <v>284.83944700000001</v>
      </c>
      <c r="P28" s="1">
        <v>18.206936638394158</v>
      </c>
      <c r="Q28" s="1">
        <v>2.395</v>
      </c>
    </row>
    <row r="29" spans="1:17" x14ac:dyDescent="0.35">
      <c r="A29" s="1">
        <v>2017</v>
      </c>
      <c r="B29" s="1">
        <v>-0.3</v>
      </c>
      <c r="C29" s="1">
        <v>0.2</v>
      </c>
      <c r="D29" s="1">
        <v>0.1</v>
      </c>
      <c r="E29" s="1">
        <v>-0.7</v>
      </c>
      <c r="F29" s="1">
        <f t="shared" si="1"/>
        <v>-0.17499999999999999</v>
      </c>
      <c r="G29" s="1">
        <v>3.9999999999999998E-6</v>
      </c>
      <c r="H29" s="1">
        <v>1.0508999999999999E-2</v>
      </c>
      <c r="I29" s="1">
        <v>6.8830000000000002E-3</v>
      </c>
      <c r="J29" s="1">
        <v>4.1390000000000003E-3</v>
      </c>
      <c r="K29" s="1">
        <v>96.614080459770108</v>
      </c>
      <c r="L29">
        <v>283.591858</v>
      </c>
      <c r="M29">
        <v>294.50735500000002</v>
      </c>
      <c r="N29">
        <v>293.31668100000002</v>
      </c>
      <c r="O29">
        <v>284.79684400000002</v>
      </c>
      <c r="P29" s="1">
        <v>18.277148024908033</v>
      </c>
      <c r="Q29" s="1">
        <v>2.5785</v>
      </c>
    </row>
    <row r="30" spans="1:17" x14ac:dyDescent="0.35">
      <c r="A30" s="1">
        <v>2018</v>
      </c>
      <c r="B30" s="1">
        <v>-0.9</v>
      </c>
      <c r="C30" s="1">
        <v>-0.5</v>
      </c>
      <c r="D30" s="1">
        <v>0.1</v>
      </c>
      <c r="E30" s="1">
        <v>0.8</v>
      </c>
      <c r="F30" s="1">
        <f t="shared" si="1"/>
        <v>-0.12499999999999994</v>
      </c>
      <c r="G30" s="1">
        <v>5.8E-5</v>
      </c>
      <c r="H30" s="1">
        <v>6.78E-4</v>
      </c>
      <c r="I30" s="1">
        <v>9.221E-3</v>
      </c>
      <c r="J30" s="1">
        <v>3.1220000000000002E-3</v>
      </c>
      <c r="K30" s="1">
        <v>95.262016718913287</v>
      </c>
      <c r="L30">
        <v>283.91522200000003</v>
      </c>
      <c r="M30">
        <v>298.11657700000001</v>
      </c>
      <c r="N30">
        <v>292.79049700000002</v>
      </c>
      <c r="O30">
        <v>284.33871499999998</v>
      </c>
      <c r="P30" s="1">
        <v>17.935051081730769</v>
      </c>
      <c r="Q30" s="1">
        <v>-1.008</v>
      </c>
    </row>
    <row r="31" spans="1:17" x14ac:dyDescent="0.35">
      <c r="A31" s="1">
        <v>2019</v>
      </c>
      <c r="B31" s="1">
        <v>0.7</v>
      </c>
      <c r="C31" s="1">
        <v>0.7</v>
      </c>
      <c r="D31" s="1">
        <v>0.3</v>
      </c>
      <c r="E31" s="1">
        <v>0.3</v>
      </c>
      <c r="F31" s="1">
        <f t="shared" si="1"/>
        <v>0.5</v>
      </c>
      <c r="G31" s="1">
        <v>1.9999999999999999E-6</v>
      </c>
      <c r="H31" s="1">
        <v>3.2859999999999999E-3</v>
      </c>
      <c r="I31" s="1">
        <v>1.1513000000000001E-2</v>
      </c>
      <c r="J31" s="1">
        <v>7.4799999999999997E-4</v>
      </c>
      <c r="K31" s="1">
        <v>88.126280041797287</v>
      </c>
      <c r="L31">
        <v>284.21167000000003</v>
      </c>
      <c r="M31">
        <v>297.46847500000001</v>
      </c>
      <c r="N31">
        <v>293.05636600000003</v>
      </c>
      <c r="O31">
        <v>283.87158199999999</v>
      </c>
      <c r="P31" s="1">
        <v>16.897752540428325</v>
      </c>
      <c r="Q31" s="1">
        <v>1.2E-2</v>
      </c>
    </row>
    <row r="32" spans="1:17" x14ac:dyDescent="0.35">
      <c r="A32" s="1">
        <v>2020</v>
      </c>
      <c r="B32" s="1">
        <v>0.5</v>
      </c>
      <c r="C32" s="1">
        <v>0.2</v>
      </c>
      <c r="D32" s="1">
        <v>-0.4</v>
      </c>
      <c r="E32" s="1">
        <v>-1.2</v>
      </c>
      <c r="F32" s="1">
        <f t="shared" si="1"/>
        <v>-0.22500000000000001</v>
      </c>
      <c r="G32" s="1">
        <v>2.61E-4</v>
      </c>
      <c r="H32" s="1">
        <v>4.5380000000000004E-3</v>
      </c>
      <c r="I32" s="1">
        <v>1.1049E-2</v>
      </c>
      <c r="J32" s="1">
        <v>9.6100000000000005E-4</v>
      </c>
      <c r="K32" s="1">
        <v>118.79195402298851</v>
      </c>
      <c r="L32">
        <v>284.998627</v>
      </c>
      <c r="M32">
        <v>296.77325400000001</v>
      </c>
      <c r="N32">
        <v>292.79418900000002</v>
      </c>
      <c r="O32">
        <v>284.64065599999998</v>
      </c>
      <c r="P32" s="1">
        <v>16.017878605769226</v>
      </c>
      <c r="Q32" s="1">
        <v>0.91220000000000001</v>
      </c>
    </row>
    <row r="33" spans="1:17" x14ac:dyDescent="0.35">
      <c r="A33" s="1">
        <v>2021</v>
      </c>
      <c r="B33" s="1">
        <v>-1</v>
      </c>
      <c r="C33" s="1">
        <v>-0.7</v>
      </c>
      <c r="D33" s="1">
        <v>-0.4</v>
      </c>
      <c r="E33" s="1">
        <v>-0.8</v>
      </c>
      <c r="F33" s="1">
        <f t="shared" si="1"/>
        <v>-0.72500000000000009</v>
      </c>
      <c r="G33" s="1">
        <v>1.9999999999999999E-6</v>
      </c>
      <c r="H33" s="1">
        <v>2.836E-3</v>
      </c>
      <c r="I33" s="1">
        <v>1.2758E-2</v>
      </c>
      <c r="J33" s="1">
        <v>1.214E-3</v>
      </c>
      <c r="K33" s="1">
        <v>77.810057471264372</v>
      </c>
      <c r="L33">
        <v>283.76486199999999</v>
      </c>
      <c r="M33">
        <v>295.47640999999999</v>
      </c>
      <c r="N33">
        <v>292.64059400000002</v>
      </c>
      <c r="O33">
        <v>284.534515</v>
      </c>
      <c r="P33" s="1">
        <v>16.02648487580128</v>
      </c>
      <c r="Q33" s="1">
        <v>-0.98670000000000002</v>
      </c>
    </row>
    <row r="34" spans="1:17" x14ac:dyDescent="0.35">
      <c r="A34" s="1">
        <v>2022</v>
      </c>
      <c r="B34" s="1">
        <v>-1</v>
      </c>
      <c r="C34" s="1">
        <v>-1.1000000000000001</v>
      </c>
      <c r="D34" s="1">
        <v>-0.8</v>
      </c>
      <c r="E34" s="1">
        <v>-1</v>
      </c>
      <c r="F34" s="1">
        <f t="shared" si="1"/>
        <v>-0.97500000000000009</v>
      </c>
      <c r="G34" s="1">
        <v>9.0000000000000006E-5</v>
      </c>
      <c r="H34" s="1">
        <v>1.0900000000000001E-4</v>
      </c>
      <c r="I34" s="1">
        <v>1.387E-2</v>
      </c>
      <c r="J34" s="1">
        <v>5.0199999999999995E-4</v>
      </c>
      <c r="K34" s="1">
        <v>28.752011494252876</v>
      </c>
      <c r="L34">
        <v>283.71951300000001</v>
      </c>
      <c r="M34">
        <v>298.89849900000002</v>
      </c>
      <c r="N34">
        <v>292.36422700000003</v>
      </c>
      <c r="O34">
        <v>283.92837500000002</v>
      </c>
      <c r="P34" s="1">
        <v>13.232364282852561</v>
      </c>
      <c r="Q34" s="1">
        <v>2.1732999999999998</v>
      </c>
    </row>
    <row r="35" spans="1:17" x14ac:dyDescent="0.35">
      <c r="A35" s="1">
        <v>2023</v>
      </c>
      <c r="B35" s="1">
        <v>-0.7</v>
      </c>
      <c r="C35" s="1">
        <v>0.2</v>
      </c>
      <c r="D35" s="1">
        <v>1.1000000000000001</v>
      </c>
      <c r="E35" s="1">
        <v>1.8</v>
      </c>
      <c r="F35" s="1">
        <f t="shared" si="1"/>
        <v>0.60000000000000009</v>
      </c>
      <c r="G35" s="1">
        <v>3.1999999999999999E-5</v>
      </c>
      <c r="H35" s="1">
        <v>2.3310000000000002E-3</v>
      </c>
      <c r="I35" s="1">
        <v>2.7190000000000001E-3</v>
      </c>
      <c r="J35" s="1">
        <v>8.7299999999999997E-4</v>
      </c>
      <c r="K35" s="1">
        <v>110.098</v>
      </c>
      <c r="L35">
        <v>283.44741800000003</v>
      </c>
      <c r="M35">
        <v>297.31823700000001</v>
      </c>
      <c r="N35">
        <v>293.74169899999998</v>
      </c>
      <c r="O35">
        <v>285.48519900000002</v>
      </c>
      <c r="P35" s="1">
        <v>18.986229999999999</v>
      </c>
      <c r="Q35" s="1">
        <v>3.1242999999999999</v>
      </c>
    </row>
    <row r="36" spans="1:17" x14ac:dyDescent="0.35">
      <c r="A36" s="1">
        <v>2024</v>
      </c>
      <c r="B36" s="1">
        <v>1.39</v>
      </c>
      <c r="C36" s="1">
        <v>0.5</v>
      </c>
      <c r="D36" s="1">
        <v>0.2</v>
      </c>
      <c r="E36" s="1">
        <v>-0.22</v>
      </c>
      <c r="F36" s="1">
        <f t="shared" si="1"/>
        <v>0.46749999999999997</v>
      </c>
      <c r="Q36" s="1">
        <v>0.91</v>
      </c>
    </row>
    <row r="37" spans="1:17" x14ac:dyDescent="0.35">
      <c r="A37" s="1">
        <v>2025</v>
      </c>
      <c r="B37" s="1">
        <v>-0.51</v>
      </c>
      <c r="C37" s="1">
        <v>0.08</v>
      </c>
      <c r="D37" s="1">
        <v>-0.21</v>
      </c>
      <c r="E37" s="1">
        <v>-0.4</v>
      </c>
      <c r="F37" s="1">
        <f t="shared" si="1"/>
        <v>-0.26</v>
      </c>
      <c r="Q37" s="1">
        <v>2.34</v>
      </c>
    </row>
    <row r="38" spans="1:17" x14ac:dyDescent="0.35">
      <c r="A38" s="1">
        <v>2026</v>
      </c>
      <c r="B38" s="1">
        <v>-0.02</v>
      </c>
      <c r="C38" s="1">
        <v>1.0900000000000001</v>
      </c>
      <c r="D38" s="1">
        <v>1.89</v>
      </c>
      <c r="E38" s="1">
        <v>2.42</v>
      </c>
      <c r="F38" s="1">
        <f t="shared" si="1"/>
        <v>1.345</v>
      </c>
      <c r="Q38" s="1">
        <v>-2.76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megbar</dc:creator>
  <cp:lastModifiedBy>Megbar Birhan</cp:lastModifiedBy>
  <dcterms:created xsi:type="dcterms:W3CDTF">2024-06-08T07:02:38Z</dcterms:created>
  <dcterms:modified xsi:type="dcterms:W3CDTF">2026-10-07T17:27:39Z</dcterms:modified>
</cp:coreProperties>
</file>